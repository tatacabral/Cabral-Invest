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cuments\Análise de Dados\Excel com IA Santander - Bootcamp DIO\Projeto 1 Simulador de Investimentos\"/>
    </mc:Choice>
  </mc:AlternateContent>
  <bookViews>
    <workbookView xWindow="0" yWindow="0" windowWidth="20490" windowHeight="6900" tabRatio="54"/>
  </bookViews>
  <sheets>
    <sheet name="Controle_de_investimentos" sheetId="1" r:id="rId1"/>
    <sheet name="Referências" sheetId="3" r:id="rId2"/>
  </sheets>
  <definedNames>
    <definedName name="aporte_FIIs">Controle_de_investimentos!$D$12</definedName>
    <definedName name="aporte_geral">Controle_de_investimentos!$D$27</definedName>
    <definedName name="distribuicao_Fiis">Controle_de_investimentos!$B$53:$D$63</definedName>
    <definedName name="FIIs">Controle_de_investimentos!$B$53</definedName>
    <definedName name="perfil">Controle_de_investimentos!$D$28</definedName>
    <definedName name="prazo">Controle_de_investimentos!$D$13</definedName>
    <definedName name="rendimento">Controle_de_investimentos!$D$8</definedName>
    <definedName name="taxa_mes">Controle_de_investimentos!$D$14</definedName>
    <definedName name="total_em_fiis">Controle_de_investimentos!$D$55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9" i="1" l="1"/>
  <c r="C20" i="1"/>
  <c r="C21" i="1"/>
  <c r="C22" i="1"/>
  <c r="C23" i="1"/>
  <c r="D15" i="1"/>
  <c r="B55" i="1" l="1"/>
  <c r="D19" i="1"/>
  <c r="D20" i="1"/>
  <c r="D21" i="1"/>
  <c r="D22" i="1"/>
  <c r="D23" i="1"/>
  <c r="D16" i="1"/>
  <c r="C58" i="1" l="1"/>
  <c r="C59" i="1"/>
  <c r="C60" i="1"/>
  <c r="C61" i="1"/>
  <c r="C62" i="1"/>
  <c r="C57" i="1"/>
  <c r="C33" i="1"/>
  <c r="D33" i="1" s="1"/>
  <c r="C35" i="1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30" i="3"/>
  <c r="A9" i="3"/>
  <c r="A10" i="3"/>
  <c r="A11" i="3"/>
  <c r="A12" i="3"/>
  <c r="A13" i="3"/>
  <c r="C37" i="1" s="1"/>
  <c r="D37" i="1" s="1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4" i="3"/>
  <c r="A5" i="3"/>
  <c r="A6" i="3"/>
  <c r="A7" i="3"/>
  <c r="C32" i="1" s="1"/>
  <c r="D32" i="1" s="1"/>
  <c r="A8" i="3"/>
  <c r="A3" i="3"/>
  <c r="D35" i="1" l="1"/>
  <c r="D55" i="1" s="1"/>
  <c r="C63" i="1"/>
  <c r="C34" i="1"/>
  <c r="D34" i="1" s="1"/>
  <c r="C36" i="1"/>
  <c r="D36" i="1" s="1"/>
  <c r="C55" i="1"/>
  <c r="D38" i="1" l="1"/>
  <c r="C38" i="1"/>
  <c r="D9" i="1"/>
  <c r="D58" i="1"/>
  <c r="D60" i="1"/>
  <c r="D61" i="1"/>
  <c r="D62" i="1"/>
  <c r="D59" i="1"/>
  <c r="D57" i="1"/>
  <c r="D63" i="1" l="1"/>
</calcChain>
</file>

<file path=xl/sharedStrings.xml><?xml version="1.0" encoding="utf-8"?>
<sst xmlns="http://schemas.openxmlformats.org/spreadsheetml/2006/main" count="158" uniqueCount="55">
  <si>
    <t>TIPO DE INVESTIMENTO</t>
  </si>
  <si>
    <t>As sugestões são fictícias e não constituem recomendação financeira personalizada.</t>
  </si>
  <si>
    <t>PERFIL</t>
  </si>
  <si>
    <t>Valor a ser investido por mês</t>
  </si>
  <si>
    <t>Percentual sugerido</t>
  </si>
  <si>
    <t>Valores</t>
  </si>
  <si>
    <t>Tesouro IPCA</t>
  </si>
  <si>
    <t>FIIs</t>
  </si>
  <si>
    <t>ETFs</t>
  </si>
  <si>
    <t>Tijolo</t>
  </si>
  <si>
    <t>Papel</t>
  </si>
  <si>
    <t>Híbridos</t>
  </si>
  <si>
    <t>TIPO DE FII</t>
  </si>
  <si>
    <t>PERFIL DE INVESTIDOR - DISTRIBUIÇÃO GERAL</t>
  </si>
  <si>
    <t>Conservador</t>
  </si>
  <si>
    <t>CHAVE</t>
  </si>
  <si>
    <t>TIPO</t>
  </si>
  <si>
    <t>%</t>
  </si>
  <si>
    <t>Tesouro Selic</t>
  </si>
  <si>
    <t>Moderado</t>
  </si>
  <si>
    <t>Arrojado</t>
  </si>
  <si>
    <t>Agressivo</t>
  </si>
  <si>
    <t>PERFIL INVESTIDOR FII</t>
  </si>
  <si>
    <t>DISTRIBUIÇÃO GERAL DA CARTEIRA</t>
  </si>
  <si>
    <t>DISTRIBUIÇÃO DA CARTEIRA EM FUNDOS IMOBILIÁRIOS (FIIs)</t>
  </si>
  <si>
    <t>Fofs</t>
  </si>
  <si>
    <t>Desenvolvimento</t>
  </si>
  <si>
    <t>Hotelaria</t>
  </si>
  <si>
    <t>Sugestão de Investimento por Perfil</t>
  </si>
  <si>
    <t>CDBs/LCI/LCA</t>
  </si>
  <si>
    <t>Coluna1</t>
  </si>
  <si>
    <t>Coluna2</t>
  </si>
  <si>
    <t>Coluna3</t>
  </si>
  <si>
    <t>Sugestão de Investimento Mensal (25%)</t>
  </si>
  <si>
    <t>Salário Líquido</t>
  </si>
  <si>
    <t>Por quantos anos?</t>
  </si>
  <si>
    <t>Taxa de rendimento mensal?</t>
  </si>
  <si>
    <t>Patrimônio acumulado</t>
  </si>
  <si>
    <t>Dividendos mensais</t>
  </si>
  <si>
    <t>Ações</t>
  </si>
  <si>
    <t>Cenários</t>
  </si>
  <si>
    <t>Total em 2 anos</t>
  </si>
  <si>
    <t>Total em 5 anos</t>
  </si>
  <si>
    <t>Total em 10 anos</t>
  </si>
  <si>
    <t>Total em 20 anos</t>
  </si>
  <si>
    <t>Total em 30 anos</t>
  </si>
  <si>
    <t>Rendimento da Carteira</t>
  </si>
  <si>
    <t>Patrimônio</t>
  </si>
  <si>
    <t>Valor</t>
  </si>
  <si>
    <t>SELECIONE O PERFIL</t>
  </si>
  <si>
    <t>Total mês</t>
  </si>
  <si>
    <t>Dividendos</t>
  </si>
  <si>
    <t>CONFIGURAÇÕES</t>
  </si>
  <si>
    <t>INVESTIMENTO MENSAL EM FIIs</t>
  </si>
  <si>
    <t>INSIRA O VALOR A SER INVESTIDO POR 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</si>
</sst>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8" formatCode="&quot;R$&quot;\ #,##0.00;[Red]\-&quot;R$&quot;\ #,##0.00"/>
    <numFmt numFmtId="164" formatCode="_-[$R$-416]\ * #,##0.00_-;\-[$R$-416]\ * #,##0.00_-;_-[$R$-416]\ * &quot;-&quot;??_-;_-@_-"/>
    <numFmt numFmtId="165" formatCode="[$R$-416]\ #,##0.00;\-[$R$-416]\ #,##0.00"/>
    <numFmt numFmtId="166" formatCode="&quot;R$&quot;\ #,##0.00"/>
  </numFmts>
  <fonts count="1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0"/>
      <name val="Creato Display Black"/>
      <family val="2"/>
    </font>
    <font>
      <sz val="16"/>
      <color theme="0"/>
      <name val="Creato Display Black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B62226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B62226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E2E2E2"/>
        <bgColor indexed="64"/>
      </patternFill>
    </fill>
    <fill>
      <patternFill patternType="solid">
        <fgColor rgb="FF22B6B2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 style="medium">
        <color indexed="64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indexed="64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 style="medium">
        <color indexed="64"/>
      </top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 style="medium">
        <color theme="0" tint="-0.14996795556505021"/>
      </right>
      <top style="medium">
        <color theme="0" tint="-0.14996795556505021"/>
      </top>
      <bottom style="medium">
        <color indexed="64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indexed="64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679555650502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theme="0" tint="-0.14996795556505021"/>
      </bottom>
      <diagonal/>
    </border>
    <border>
      <left/>
      <right/>
      <top style="medium">
        <color indexed="64"/>
      </top>
      <bottom style="medium">
        <color theme="0" tint="-0.14996795556505021"/>
      </bottom>
      <diagonal/>
    </border>
    <border>
      <left/>
      <right style="medium">
        <color indexed="64"/>
      </right>
      <top style="medium">
        <color indexed="64"/>
      </top>
      <bottom style="medium">
        <color theme="0" tint="-0.14996795556505021"/>
      </bottom>
      <diagonal/>
    </border>
    <border>
      <left style="medium">
        <color indexed="64"/>
      </left>
      <right/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indexed="64"/>
      </left>
      <right/>
      <top style="medium">
        <color theme="0" tint="-0.14996795556505021"/>
      </top>
      <bottom style="medium">
        <color indexed="64"/>
      </bottom>
      <diagonal/>
    </border>
    <border>
      <left/>
      <right style="medium">
        <color theme="0" tint="-0.14996795556505021"/>
      </right>
      <top style="medium">
        <color theme="0" tint="-0.14996795556505021"/>
      </top>
      <bottom style="medium">
        <color indexed="64"/>
      </bottom>
      <diagonal/>
    </border>
    <border>
      <left style="medium">
        <color theme="0" tint="-0.14996795556505021"/>
      </left>
      <right/>
      <top style="medium">
        <color indexed="64"/>
      </top>
      <bottom style="medium">
        <color theme="0" tint="-0.14996795556505021"/>
      </bottom>
      <diagonal/>
    </border>
    <border>
      <left style="medium">
        <color theme="0" tint="-0.14996795556505021"/>
      </left>
      <right/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indexed="64"/>
      </right>
      <top/>
      <bottom style="medium">
        <color indexed="64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3743705557422"/>
      </top>
      <bottom style="medium">
        <color theme="0" tint="-0.14993743705557422"/>
      </bottom>
      <diagonal/>
    </border>
    <border>
      <left style="medium">
        <color theme="0" tint="-0.14996795556505021"/>
      </left>
      <right style="medium">
        <color indexed="64"/>
      </right>
      <top style="medium">
        <color theme="0" tint="-0.14993743705557422"/>
      </top>
      <bottom style="medium">
        <color indexed="64"/>
      </bottom>
      <diagonal/>
    </border>
    <border>
      <left style="medium">
        <color theme="0" tint="-0.14996795556505021"/>
      </left>
      <right style="medium">
        <color indexed="64"/>
      </right>
      <top style="medium">
        <color indexed="64"/>
      </top>
      <bottom style="medium">
        <color theme="0" tint="-0.14993743705557422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6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93">
    <xf numFmtId="0" fontId="0" fillId="0" borderId="0" xfId="0"/>
    <xf numFmtId="164" fontId="0" fillId="0" borderId="0" xfId="0" applyNumberFormat="1"/>
    <xf numFmtId="0" fontId="0" fillId="0" borderId="5" xfId="0" applyBorder="1"/>
    <xf numFmtId="0" fontId="0" fillId="0" borderId="0" xfId="0" applyAlignment="1">
      <alignment horizontal="left"/>
    </xf>
    <xf numFmtId="164" fontId="5" fillId="0" borderId="0" xfId="0" applyNumberFormat="1" applyFont="1"/>
    <xf numFmtId="0" fontId="8" fillId="0" borderId="0" xfId="0" applyFont="1"/>
    <xf numFmtId="0" fontId="8" fillId="0" borderId="0" xfId="0" applyFont="1" applyAlignment="1">
      <alignment horizontal="center"/>
    </xf>
    <xf numFmtId="9" fontId="0" fillId="0" borderId="0" xfId="1" applyFont="1" applyAlignment="1">
      <alignment horizontal="center"/>
    </xf>
    <xf numFmtId="9" fontId="0" fillId="0" borderId="5" xfId="1" applyFont="1" applyBorder="1" applyAlignment="1">
      <alignment horizontal="center"/>
    </xf>
    <xf numFmtId="9" fontId="0" fillId="0" borderId="0" xfId="1" applyFont="1" applyFill="1" applyBorder="1" applyAlignment="1">
      <alignment horizontal="center"/>
    </xf>
    <xf numFmtId="9" fontId="0" fillId="0" borderId="0" xfId="1" applyNumberFormat="1" applyFont="1" applyAlignment="1">
      <alignment horizontal="center"/>
    </xf>
    <xf numFmtId="9" fontId="0" fillId="0" borderId="5" xfId="1" applyNumberFormat="1" applyFont="1" applyBorder="1" applyAlignment="1">
      <alignment horizontal="center"/>
    </xf>
    <xf numFmtId="9" fontId="0" fillId="0" borderId="0" xfId="1" applyNumberFormat="1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0" fillId="0" borderId="0" xfId="0" applyBorder="1"/>
    <xf numFmtId="9" fontId="0" fillId="0" borderId="0" xfId="1" applyFont="1" applyBorder="1" applyAlignment="1">
      <alignment horizontal="center"/>
    </xf>
    <xf numFmtId="8" fontId="0" fillId="0" borderId="0" xfId="0" applyNumberFormat="1" applyBorder="1" applyAlignment="1">
      <alignment horizontal="center"/>
    </xf>
    <xf numFmtId="165" fontId="5" fillId="0" borderId="18" xfId="0" applyNumberFormat="1" applyFont="1" applyBorder="1" applyAlignment="1">
      <alignment horizontal="center"/>
    </xf>
    <xf numFmtId="1" fontId="9" fillId="0" borderId="18" xfId="0" applyNumberFormat="1" applyFont="1" applyBorder="1" applyAlignment="1">
      <alignment horizontal="center"/>
    </xf>
    <xf numFmtId="10" fontId="9" fillId="0" borderId="18" xfId="1" applyNumberFormat="1" applyFont="1" applyBorder="1" applyAlignment="1">
      <alignment horizontal="center"/>
    </xf>
    <xf numFmtId="0" fontId="1" fillId="0" borderId="0" xfId="0" applyFont="1"/>
    <xf numFmtId="0" fontId="10" fillId="2" borderId="23" xfId="0" applyFont="1" applyFill="1" applyBorder="1" applyAlignment="1">
      <alignment horizontal="center" vertical="center"/>
    </xf>
    <xf numFmtId="0" fontId="10" fillId="2" borderId="24" xfId="0" applyFont="1" applyFill="1" applyBorder="1" applyAlignment="1">
      <alignment horizontal="center" vertical="center"/>
    </xf>
    <xf numFmtId="166" fontId="5" fillId="5" borderId="21" xfId="0" applyNumberFormat="1" applyFont="1" applyFill="1" applyBorder="1" applyAlignment="1">
      <alignment horizontal="center"/>
    </xf>
    <xf numFmtId="0" fontId="9" fillId="5" borderId="17" xfId="0" applyFont="1" applyFill="1" applyBorder="1" applyAlignment="1">
      <alignment horizontal="left" indent="3"/>
    </xf>
    <xf numFmtId="0" fontId="9" fillId="5" borderId="19" xfId="0" applyFont="1" applyFill="1" applyBorder="1" applyAlignment="1">
      <alignment horizontal="left" indent="3"/>
    </xf>
    <xf numFmtId="8" fontId="5" fillId="5" borderId="18" xfId="0" applyNumberFormat="1" applyFont="1" applyFill="1" applyBorder="1" applyAlignment="1">
      <alignment horizontal="center"/>
    </xf>
    <xf numFmtId="8" fontId="5" fillId="5" borderId="21" xfId="0" applyNumberFormat="1" applyFont="1" applyFill="1" applyBorder="1" applyAlignment="1">
      <alignment horizontal="center"/>
    </xf>
    <xf numFmtId="166" fontId="9" fillId="0" borderId="18" xfId="0" applyNumberFormat="1" applyFont="1" applyBorder="1" applyAlignment="1">
      <alignment horizontal="center"/>
    </xf>
    <xf numFmtId="10" fontId="9" fillId="0" borderId="18" xfId="0" applyNumberFormat="1" applyFont="1" applyBorder="1" applyAlignment="1">
      <alignment horizontal="center"/>
    </xf>
    <xf numFmtId="8" fontId="9" fillId="5" borderId="18" xfId="0" applyNumberFormat="1" applyFont="1" applyFill="1" applyBorder="1" applyAlignment="1">
      <alignment horizontal="center"/>
    </xf>
    <xf numFmtId="8" fontId="9" fillId="5" borderId="13" xfId="0" applyNumberFormat="1" applyFont="1" applyFill="1" applyBorder="1" applyAlignment="1">
      <alignment horizontal="center"/>
    </xf>
    <xf numFmtId="8" fontId="9" fillId="5" borderId="20" xfId="0" applyNumberFormat="1" applyFont="1" applyFill="1" applyBorder="1" applyAlignment="1">
      <alignment horizontal="center"/>
    </xf>
    <xf numFmtId="8" fontId="9" fillId="5" borderId="21" xfId="0" applyNumberFormat="1" applyFont="1" applyFill="1" applyBorder="1" applyAlignment="1">
      <alignment horizontal="center"/>
    </xf>
    <xf numFmtId="0" fontId="9" fillId="5" borderId="14" xfId="0" applyFont="1" applyFill="1" applyBorder="1" applyAlignment="1">
      <alignment horizontal="left" indent="3"/>
    </xf>
    <xf numFmtId="9" fontId="0" fillId="5" borderId="15" xfId="1" applyFont="1" applyFill="1" applyBorder="1" applyAlignment="1">
      <alignment horizontal="center"/>
    </xf>
    <xf numFmtId="9" fontId="0" fillId="5" borderId="13" xfId="1" applyFont="1" applyFill="1" applyBorder="1" applyAlignment="1">
      <alignment horizontal="center"/>
    </xf>
    <xf numFmtId="0" fontId="5" fillId="5" borderId="19" xfId="0" applyFont="1" applyFill="1" applyBorder="1" applyAlignment="1">
      <alignment horizontal="left" wrapText="1" indent="3"/>
    </xf>
    <xf numFmtId="9" fontId="8" fillId="5" borderId="20" xfId="0" applyNumberFormat="1" applyFont="1" applyFill="1" applyBorder="1" applyAlignment="1">
      <alignment horizontal="center"/>
    </xf>
    <xf numFmtId="166" fontId="9" fillId="5" borderId="16" xfId="0" applyNumberFormat="1" applyFont="1" applyFill="1" applyBorder="1" applyAlignment="1">
      <alignment horizontal="center"/>
    </xf>
    <xf numFmtId="166" fontId="9" fillId="5" borderId="18" xfId="0" applyNumberFormat="1" applyFont="1" applyFill="1" applyBorder="1" applyAlignment="1">
      <alignment horizontal="center"/>
    </xf>
    <xf numFmtId="0" fontId="5" fillId="5" borderId="19" xfId="0" applyFont="1" applyFill="1" applyBorder="1" applyAlignment="1">
      <alignment horizontal="left" indent="3"/>
    </xf>
    <xf numFmtId="9" fontId="5" fillId="5" borderId="20" xfId="0" applyNumberFormat="1" applyFont="1" applyFill="1" applyBorder="1" applyAlignment="1">
      <alignment horizontal="center"/>
    </xf>
    <xf numFmtId="0" fontId="10" fillId="2" borderId="22" xfId="0" applyFont="1" applyFill="1" applyBorder="1" applyAlignment="1">
      <alignment horizontal="center" vertical="center"/>
    </xf>
    <xf numFmtId="9" fontId="9" fillId="5" borderId="28" xfId="1" applyFont="1" applyFill="1" applyBorder="1" applyAlignment="1">
      <alignment horizontal="center"/>
    </xf>
    <xf numFmtId="9" fontId="9" fillId="5" borderId="29" xfId="1" applyFont="1" applyFill="1" applyBorder="1" applyAlignment="1">
      <alignment horizontal="center"/>
    </xf>
    <xf numFmtId="166" fontId="5" fillId="5" borderId="30" xfId="0" applyNumberFormat="1" applyFont="1" applyFill="1" applyBorder="1" applyAlignment="1">
      <alignment horizontal="center"/>
    </xf>
    <xf numFmtId="166" fontId="0" fillId="5" borderId="31" xfId="0" applyNumberFormat="1" applyFill="1" applyBorder="1" applyAlignment="1">
      <alignment horizontal="center"/>
    </xf>
    <xf numFmtId="166" fontId="8" fillId="5" borderId="32" xfId="0" applyNumberFormat="1" applyFont="1" applyFill="1" applyBorder="1" applyAlignment="1">
      <alignment horizontal="center"/>
    </xf>
    <xf numFmtId="166" fontId="0" fillId="5" borderId="33" xfId="0" applyNumberFormat="1" applyFill="1" applyBorder="1" applyAlignment="1">
      <alignment horizontal="center"/>
    </xf>
    <xf numFmtId="0" fontId="12" fillId="5" borderId="7" xfId="2" applyFill="1" applyBorder="1" applyAlignment="1">
      <alignment horizontal="left" indent="3"/>
    </xf>
    <xf numFmtId="0" fontId="11" fillId="0" borderId="21" xfId="0" applyFont="1" applyFill="1" applyBorder="1" applyAlignment="1">
      <alignment horizontal="center" vertical="center"/>
    </xf>
    <xf numFmtId="166" fontId="5" fillId="0" borderId="18" xfId="0" applyNumberFormat="1" applyFont="1" applyFill="1" applyBorder="1" applyAlignment="1">
      <alignment horizontal="center" vertical="center"/>
    </xf>
    <xf numFmtId="0" fontId="8" fillId="6" borderId="11" xfId="0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left" vertical="center" indent="3"/>
    </xf>
    <xf numFmtId="0" fontId="8" fillId="6" borderId="10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left" vertical="center" indent="3"/>
    </xf>
    <xf numFmtId="0" fontId="8" fillId="6" borderId="5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left" indent="3"/>
    </xf>
    <xf numFmtId="9" fontId="1" fillId="3" borderId="5" xfId="0" applyNumberFormat="1" applyFont="1" applyFill="1" applyBorder="1" applyAlignment="1">
      <alignment horizontal="center"/>
    </xf>
    <xf numFmtId="166" fontId="1" fillId="3" borderId="6" xfId="0" applyNumberFormat="1" applyFont="1" applyFill="1" applyBorder="1" applyAlignment="1">
      <alignment horizontal="center"/>
    </xf>
    <xf numFmtId="0" fontId="0" fillId="0" borderId="34" xfId="0" applyBorder="1"/>
    <xf numFmtId="0" fontId="13" fillId="5" borderId="17" xfId="0" applyFont="1" applyFill="1" applyBorder="1" applyAlignment="1">
      <alignment horizontal="left" vertical="center" indent="3"/>
    </xf>
    <xf numFmtId="0" fontId="13" fillId="5" borderId="13" xfId="0" applyFont="1" applyFill="1" applyBorder="1" applyAlignment="1">
      <alignment horizontal="left" vertical="center" indent="3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9" fillId="5" borderId="25" xfId="0" applyFont="1" applyFill="1" applyBorder="1" applyAlignment="1">
      <alignment horizontal="left" indent="3"/>
    </xf>
    <xf numFmtId="0" fontId="9" fillId="5" borderId="12" xfId="0" applyFont="1" applyFill="1" applyBorder="1" applyAlignment="1">
      <alignment horizontal="left" indent="3"/>
    </xf>
    <xf numFmtId="0" fontId="1" fillId="2" borderId="7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9" fillId="5" borderId="17" xfId="0" applyFont="1" applyFill="1" applyBorder="1" applyAlignment="1">
      <alignment horizontal="left" indent="3"/>
    </xf>
    <xf numFmtId="0" fontId="9" fillId="5" borderId="13" xfId="0" applyFont="1" applyFill="1" applyBorder="1" applyAlignment="1">
      <alignment horizontal="left" indent="3"/>
    </xf>
    <xf numFmtId="0" fontId="5" fillId="5" borderId="25" xfId="0" applyFont="1" applyFill="1" applyBorder="1" applyAlignment="1">
      <alignment horizontal="left" indent="3"/>
    </xf>
    <xf numFmtId="0" fontId="5" fillId="5" borderId="12" xfId="0" applyFont="1" applyFill="1" applyBorder="1" applyAlignment="1">
      <alignment horizontal="left" indent="3"/>
    </xf>
    <xf numFmtId="0" fontId="5" fillId="5" borderId="26" xfId="0" applyFont="1" applyFill="1" applyBorder="1" applyAlignment="1">
      <alignment horizontal="left" indent="3"/>
    </xf>
    <xf numFmtId="0" fontId="5" fillId="5" borderId="27" xfId="0" applyFont="1" applyFill="1" applyBorder="1" applyAlignment="1">
      <alignment horizontal="left" indent="3"/>
    </xf>
    <xf numFmtId="0" fontId="3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9" fillId="5" borderId="19" xfId="0" applyFont="1" applyFill="1" applyBorder="1" applyAlignment="1">
      <alignment horizontal="left" indent="3"/>
    </xf>
    <xf numFmtId="0" fontId="9" fillId="5" borderId="20" xfId="0" applyFont="1" applyFill="1" applyBorder="1" applyAlignment="1">
      <alignment horizontal="left" indent="3"/>
    </xf>
    <xf numFmtId="0" fontId="13" fillId="5" borderId="19" xfId="0" applyFont="1" applyFill="1" applyBorder="1" applyAlignment="1">
      <alignment horizontal="center" vertical="center"/>
    </xf>
    <xf numFmtId="0" fontId="13" fillId="5" borderId="20" xfId="0" applyFont="1" applyFill="1" applyBorder="1" applyAlignment="1">
      <alignment horizontal="center" vertical="center"/>
    </xf>
  </cellXfs>
  <cellStyles count="3">
    <cellStyle name="Hiperlink" xfId="2" builtinId="8"/>
    <cellStyle name="Normal" xfId="0" builtinId="0"/>
    <cellStyle name="Porcentagem" xfId="1" builtinId="5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B62226"/>
      <color rgb="FF22B6B2"/>
      <color rgb="FF921B1E"/>
      <color rgb="FFB66822"/>
      <color rgb="FFE2E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DDB-42A4-B2B5-D2A17706106E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DDB-42A4-B2B5-D2A17706106E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DDB-42A4-B2B5-D2A17706106E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DDB-42A4-B2B5-D2A17706106E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DDB-42A4-B2B5-D2A17706106E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DDB-42A4-B2B5-D2A17706106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Controle_de_investimentos!$B$32:$B$37</c:f>
              <c:strCache>
                <c:ptCount val="6"/>
                <c:pt idx="0">
                  <c:v>Tesouro Selic</c:v>
                </c:pt>
                <c:pt idx="1">
                  <c:v>CDBs/LCI/LCA</c:v>
                </c:pt>
                <c:pt idx="2">
                  <c:v>Tesouro IPCA</c:v>
                </c:pt>
                <c:pt idx="3">
                  <c:v>FIIs</c:v>
                </c:pt>
                <c:pt idx="4">
                  <c:v>Ações</c:v>
                </c:pt>
                <c:pt idx="5">
                  <c:v>ETFs</c:v>
                </c:pt>
              </c:strCache>
            </c:strRef>
          </c:cat>
          <c:val>
            <c:numRef>
              <c:f>Controle_de_investimentos!$C$32:$C$37</c:f>
              <c:numCache>
                <c:formatCode>0%</c:formatCode>
                <c:ptCount val="6"/>
                <c:pt idx="0">
                  <c:v>0.3</c:v>
                </c:pt>
                <c:pt idx="1">
                  <c:v>0.2</c:v>
                </c:pt>
                <c:pt idx="2">
                  <c:v>0.2</c:v>
                </c:pt>
                <c:pt idx="3">
                  <c:v>0.15</c:v>
                </c:pt>
                <c:pt idx="4">
                  <c:v>0.1</c:v>
                </c:pt>
                <c:pt idx="5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7F-4E9D-9C39-04990F85F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451993324203894"/>
          <c:y val="0.20268171957957309"/>
          <c:w val="0.14029495384331092"/>
          <c:h val="0.61644267069356051"/>
        </c:manualLayout>
      </c:layout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E22-4F91-91B9-598BC33F686F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E22-4F91-91B9-598BC33F686F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E22-4F91-91B9-598BC33F686F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E22-4F91-91B9-598BC33F686F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E22-4F91-91B9-598BC33F686F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E22-4F91-91B9-598BC33F686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Controle_de_investimentos!$B$57:$B$62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</c:strCache>
            </c:strRef>
          </c:cat>
          <c:val>
            <c:numRef>
              <c:f>Controle_de_investimentos!$C$57:$C$62</c:f>
              <c:numCache>
                <c:formatCode>0%</c:formatCode>
                <c:ptCount val="6"/>
                <c:pt idx="0">
                  <c:v>0.4</c:v>
                </c:pt>
                <c:pt idx="1">
                  <c:v>0.3</c:v>
                </c:pt>
                <c:pt idx="2">
                  <c:v>0.15</c:v>
                </c:pt>
                <c:pt idx="3">
                  <c:v>0.1</c:v>
                </c:pt>
                <c:pt idx="4">
                  <c:v>0.05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0F-40AC-A4CF-7970EA05EB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681543145949623"/>
          <c:y val="0.19317967072297781"/>
          <c:w val="0.16794913034925402"/>
          <c:h val="0.61364065855404437"/>
        </c:manualLayout>
      </c:layout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9525</xdr:colOff>
      <xdr:row>0</xdr:row>
      <xdr:rowOff>180975</xdr:rowOff>
    </xdr:from>
    <xdr:to>
      <xdr:col>4</xdr:col>
      <xdr:colOff>19050</xdr:colOff>
      <xdr:row>4</xdr:row>
      <xdr:rowOff>8830</xdr:rowOff>
    </xdr:to>
    <xdr:pic>
      <xdr:nvPicPr>
        <xdr:cNvPr id="2" name="Imagem 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877" b="14268"/>
        <a:stretch/>
      </xdr:blipFill>
      <xdr:spPr>
        <a:xfrm>
          <a:off x="714375" y="180975"/>
          <a:ext cx="6019800" cy="1351855"/>
        </a:xfrm>
        <a:prstGeom prst="rect">
          <a:avLst/>
        </a:prstGeom>
      </xdr:spPr>
    </xdr:pic>
    <xdr:clientData/>
  </xdr:twoCellAnchor>
  <xdr:twoCellAnchor>
    <xdr:from>
      <xdr:col>2</xdr:col>
      <xdr:colOff>371475</xdr:colOff>
      <xdr:row>27</xdr:row>
      <xdr:rowOff>57150</xdr:rowOff>
    </xdr:from>
    <xdr:to>
      <xdr:col>2</xdr:col>
      <xdr:colOff>819150</xdr:colOff>
      <xdr:row>27</xdr:row>
      <xdr:rowOff>209550</xdr:rowOff>
    </xdr:to>
    <xdr:sp macro="" textlink="">
      <xdr:nvSpPr>
        <xdr:cNvPr id="4" name="Seta para a Direita 3"/>
        <xdr:cNvSpPr/>
      </xdr:nvSpPr>
      <xdr:spPr>
        <a:xfrm>
          <a:off x="3657600" y="7019925"/>
          <a:ext cx="447675" cy="152400"/>
        </a:xfrm>
        <a:prstGeom prst="rightArrow">
          <a:avLst/>
        </a:prstGeom>
        <a:solidFill>
          <a:srgbClr val="B6222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4761</xdr:colOff>
      <xdr:row>39</xdr:row>
      <xdr:rowOff>19050</xdr:rowOff>
    </xdr:from>
    <xdr:to>
      <xdr:col>3</xdr:col>
      <xdr:colOff>1704975</xdr:colOff>
      <xdr:row>50</xdr:row>
      <xdr:rowOff>9525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690561</xdr:colOff>
      <xdr:row>64</xdr:row>
      <xdr:rowOff>9526</xdr:rowOff>
    </xdr:from>
    <xdr:to>
      <xdr:col>4</xdr:col>
      <xdr:colOff>9525</xdr:colOff>
      <xdr:row>75</xdr:row>
      <xdr:rowOff>9526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381000</xdr:colOff>
      <xdr:row>26</xdr:row>
      <xdr:rowOff>38100</xdr:rowOff>
    </xdr:from>
    <xdr:to>
      <xdr:col>2</xdr:col>
      <xdr:colOff>828675</xdr:colOff>
      <xdr:row>26</xdr:row>
      <xdr:rowOff>190500</xdr:rowOff>
    </xdr:to>
    <xdr:sp macro="" textlink="">
      <xdr:nvSpPr>
        <xdr:cNvPr id="7" name="Seta para a Direita 6"/>
        <xdr:cNvSpPr/>
      </xdr:nvSpPr>
      <xdr:spPr>
        <a:xfrm>
          <a:off x="3667125" y="6772275"/>
          <a:ext cx="447675" cy="152400"/>
        </a:xfrm>
        <a:prstGeom prst="rightArrow">
          <a:avLst/>
        </a:prstGeom>
        <a:solidFill>
          <a:srgbClr val="B6222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ables/table1.xml><?xml version="1.0" encoding="utf-8"?>
<table xmlns="http://schemas.openxmlformats.org/spreadsheetml/2006/main" id="1" name="basegeral" displayName="basegeral" ref="A1:D26" totalsRowShown="0" headerRowDxfId="5" tableBorderDxfId="4">
  <autoFilter ref="A1:D26"/>
  <tableColumns count="4">
    <tableColumn id="1" name="PERFIL DE INVESTIDOR - DISTRIBUIÇÃO GERAL">
      <calculatedColumnFormula>B2&amp;"-"&amp;C2</calculatedColumnFormula>
    </tableColumn>
    <tableColumn id="2" name="Coluna1"/>
    <tableColumn id="3" name="Coluna2"/>
    <tableColumn id="4" name="Coluna3" dataDxfId="3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aseFii" displayName="baseFii" ref="A28:D53" totalsRowShown="0" headerRowDxfId="2" tableBorderDxfId="1">
  <autoFilter ref="A28:D53"/>
  <tableColumns count="4">
    <tableColumn id="1" name="PERFIL INVESTIDOR FII">
      <calculatedColumnFormula>B29&amp;"-"&amp;C29</calculatedColumnFormula>
    </tableColumn>
    <tableColumn id="2" name="Coluna1"/>
    <tableColumn id="3" name="Coluna2"/>
    <tableColumn id="4" name="Coluna3" dataDxfId="0" dataCellStyle="Porcentagem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4"/>
  <sheetViews>
    <sheetView showGridLines="0" showRowColHeaders="0" tabSelected="1" zoomScale="80" zoomScaleNormal="80" workbookViewId="0">
      <selection activeCell="D7" sqref="D7"/>
    </sheetView>
  </sheetViews>
  <sheetFormatPr defaultColWidth="0" defaultRowHeight="15" x14ac:dyDescent="0.25"/>
  <cols>
    <col min="1" max="1" width="10.5703125" customWidth="1"/>
    <col min="2" max="2" width="38.7109375" customWidth="1"/>
    <col min="3" max="4" width="25.7109375" customWidth="1"/>
    <col min="5" max="5" width="4.5703125" customWidth="1"/>
    <col min="6" max="6" width="3.85546875" customWidth="1"/>
    <col min="7" max="7" width="5.140625" customWidth="1"/>
    <col min="8" max="8" width="8.42578125" hidden="1" customWidth="1"/>
    <col min="9" max="9" width="10.85546875" hidden="1" customWidth="1"/>
    <col min="10" max="10" width="14" hidden="1" customWidth="1"/>
    <col min="11" max="16384" width="9.140625" hidden="1"/>
  </cols>
  <sheetData>
    <row r="1" spans="2:10" ht="25.5" customHeight="1" x14ac:dyDescent="0.25"/>
    <row r="2" spans="2:10" ht="19.5" customHeight="1" x14ac:dyDescent="0.25"/>
    <row r="3" spans="2:10" ht="52.5" customHeight="1" x14ac:dyDescent="0.25"/>
    <row r="4" spans="2:10" ht="22.5" customHeight="1" x14ac:dyDescent="0.25"/>
    <row r="5" spans="2:10" ht="20.25" customHeight="1" thickBot="1" x14ac:dyDescent="0.3"/>
    <row r="6" spans="2:10" ht="25.5" customHeight="1" thickBot="1" x14ac:dyDescent="0.3">
      <c r="B6" s="65" t="s">
        <v>52</v>
      </c>
      <c r="C6" s="66"/>
      <c r="D6" s="67"/>
    </row>
    <row r="7" spans="2:10" ht="16.5" thickBot="1" x14ac:dyDescent="0.3">
      <c r="B7" s="73" t="s">
        <v>34</v>
      </c>
      <c r="C7" s="74"/>
      <c r="D7" s="28">
        <v>5200</v>
      </c>
    </row>
    <row r="8" spans="2:10" ht="16.5" thickBot="1" x14ac:dyDescent="0.3">
      <c r="B8" s="68" t="s">
        <v>46</v>
      </c>
      <c r="C8" s="69"/>
      <c r="D8" s="29">
        <v>9.4999999999999998E-3</v>
      </c>
    </row>
    <row r="9" spans="2:10" ht="16.5" thickBot="1" x14ac:dyDescent="0.3">
      <c r="B9" s="89" t="s">
        <v>33</v>
      </c>
      <c r="C9" s="90"/>
      <c r="D9" s="23">
        <f>D7*25%</f>
        <v>1300</v>
      </c>
    </row>
    <row r="10" spans="2:10" ht="20.25" customHeight="1" thickBot="1" x14ac:dyDescent="0.3"/>
    <row r="11" spans="2:10" ht="25.5" customHeight="1" thickBot="1" x14ac:dyDescent="0.3">
      <c r="B11" s="65" t="s">
        <v>53</v>
      </c>
      <c r="C11" s="66"/>
      <c r="D11" s="67"/>
      <c r="J11" s="1"/>
    </row>
    <row r="12" spans="2:10" ht="16.5" thickBot="1" x14ac:dyDescent="0.3">
      <c r="B12" s="73" t="s">
        <v>3</v>
      </c>
      <c r="C12" s="74"/>
      <c r="D12" s="17">
        <v>450</v>
      </c>
    </row>
    <row r="13" spans="2:10" ht="16.5" thickBot="1" x14ac:dyDescent="0.3">
      <c r="B13" s="68" t="s">
        <v>35</v>
      </c>
      <c r="C13" s="69"/>
      <c r="D13" s="18">
        <v>3</v>
      </c>
    </row>
    <row r="14" spans="2:10" ht="16.5" thickBot="1" x14ac:dyDescent="0.3">
      <c r="B14" s="68" t="s">
        <v>36</v>
      </c>
      <c r="C14" s="69"/>
      <c r="D14" s="19">
        <v>1.069E-2</v>
      </c>
    </row>
    <row r="15" spans="2:10" ht="16.5" thickBot="1" x14ac:dyDescent="0.3">
      <c r="B15" s="75" t="s">
        <v>37</v>
      </c>
      <c r="C15" s="76"/>
      <c r="D15" s="26">
        <f>FV(taxa_mes,prazo*12,aporte_FIIs*(-1))</f>
        <v>19632.509279627928</v>
      </c>
    </row>
    <row r="16" spans="2:10" ht="16.5" thickBot="1" x14ac:dyDescent="0.3">
      <c r="B16" s="77" t="s">
        <v>38</v>
      </c>
      <c r="C16" s="78"/>
      <c r="D16" s="27">
        <f>D15*rendimento</f>
        <v>186.50883815646532</v>
      </c>
    </row>
    <row r="17" spans="1:4" ht="20.25" customHeight="1" thickBot="1" x14ac:dyDescent="0.3">
      <c r="B17" s="14"/>
      <c r="C17" s="14"/>
      <c r="D17" s="16"/>
    </row>
    <row r="18" spans="1:4" ht="25.5" customHeight="1" thickBot="1" x14ac:dyDescent="0.3">
      <c r="B18" s="43" t="s">
        <v>40</v>
      </c>
      <c r="C18" s="21" t="s">
        <v>47</v>
      </c>
      <c r="D18" s="22" t="s">
        <v>51</v>
      </c>
    </row>
    <row r="19" spans="1:4" ht="16.5" thickBot="1" x14ac:dyDescent="0.3">
      <c r="A19" s="20">
        <v>2</v>
      </c>
      <c r="B19" s="24" t="s">
        <v>41</v>
      </c>
      <c r="C19" s="31">
        <f>FV(taxa_mes,A19*12,aporte_FIIs*-1)</f>
        <v>12237.880522220286</v>
      </c>
      <c r="D19" s="30">
        <f>C19*rendimento</f>
        <v>116.25986496109272</v>
      </c>
    </row>
    <row r="20" spans="1:4" ht="16.5" thickBot="1" x14ac:dyDescent="0.3">
      <c r="A20" s="20">
        <v>5</v>
      </c>
      <c r="B20" s="24" t="s">
        <v>42</v>
      </c>
      <c r="C20" s="31">
        <f>FV(taxa_mes,A20*12,aporte_FIIs*-1)</f>
        <v>37577.906775551208</v>
      </c>
      <c r="D20" s="30">
        <f>C20*rendimento</f>
        <v>356.99011436773645</v>
      </c>
    </row>
    <row r="21" spans="1:4" ht="16.5" thickBot="1" x14ac:dyDescent="0.3">
      <c r="A21" s="20">
        <v>10</v>
      </c>
      <c r="B21" s="24" t="s">
        <v>43</v>
      </c>
      <c r="C21" s="31">
        <f>FV(taxa_mes,A21*12,aporte_FIIs*-1)</f>
        <v>108701.01163973857</v>
      </c>
      <c r="D21" s="30">
        <f>C21*rendimento</f>
        <v>1032.6596105775163</v>
      </c>
    </row>
    <row r="22" spans="1:4" ht="16.5" thickBot="1" x14ac:dyDescent="0.3">
      <c r="A22" s="20">
        <v>20</v>
      </c>
      <c r="B22" s="24" t="s">
        <v>44</v>
      </c>
      <c r="C22" s="31">
        <f>FV(taxa_mes,A22*12,aporte_FIIs*-1)</f>
        <v>498095.52809672739</v>
      </c>
      <c r="D22" s="30">
        <f>C22*rendimento</f>
        <v>4731.90751691891</v>
      </c>
    </row>
    <row r="23" spans="1:4" ht="16.5" thickBot="1" x14ac:dyDescent="0.3">
      <c r="A23" s="20">
        <v>30</v>
      </c>
      <c r="B23" s="25" t="s">
        <v>45</v>
      </c>
      <c r="C23" s="32">
        <f>FV(taxa_mes,A23*12,aporte_FIIs*-1)</f>
        <v>1893005.1720778176</v>
      </c>
      <c r="D23" s="33">
        <f>C23*rendimento</f>
        <v>17983.549134739267</v>
      </c>
    </row>
    <row r="24" spans="1:4" ht="20.25" customHeight="1" thickBot="1" x14ac:dyDescent="0.3">
      <c r="B24" s="3"/>
      <c r="C24" s="3"/>
      <c r="D24" s="4"/>
    </row>
    <row r="25" spans="1:4" ht="20.25" x14ac:dyDescent="0.25">
      <c r="B25" s="80" t="s">
        <v>28</v>
      </c>
      <c r="C25" s="81"/>
      <c r="D25" s="82"/>
    </row>
    <row r="26" spans="1:4" ht="18" customHeight="1" thickBot="1" x14ac:dyDescent="0.3">
      <c r="B26" s="86" t="s">
        <v>1</v>
      </c>
      <c r="C26" s="87"/>
      <c r="D26" s="88"/>
    </row>
    <row r="27" spans="1:4" ht="18" customHeight="1" thickBot="1" x14ac:dyDescent="0.3">
      <c r="B27" s="63" t="s">
        <v>54</v>
      </c>
      <c r="C27" s="64"/>
      <c r="D27" s="52">
        <v>1200</v>
      </c>
    </row>
    <row r="28" spans="1:4" ht="20.25" customHeight="1" thickBot="1" x14ac:dyDescent="0.3">
      <c r="B28" s="91" t="s">
        <v>49</v>
      </c>
      <c r="C28" s="92"/>
      <c r="D28" s="51" t="s">
        <v>19</v>
      </c>
    </row>
    <row r="29" spans="1:4" ht="20.25" customHeight="1" x14ac:dyDescent="0.25"/>
    <row r="30" spans="1:4" ht="25.5" customHeight="1" thickBot="1" x14ac:dyDescent="0.3">
      <c r="B30" s="79" t="s">
        <v>23</v>
      </c>
      <c r="C30" s="79"/>
      <c r="D30" s="79"/>
    </row>
    <row r="31" spans="1:4" ht="20.25" customHeight="1" thickBot="1" x14ac:dyDescent="0.3">
      <c r="B31" s="54" t="s">
        <v>0</v>
      </c>
      <c r="C31" s="55" t="s">
        <v>4</v>
      </c>
      <c r="D31" s="53" t="s">
        <v>48</v>
      </c>
    </row>
    <row r="32" spans="1:4" ht="16.5" thickBot="1" x14ac:dyDescent="0.3">
      <c r="B32" s="34" t="s">
        <v>18</v>
      </c>
      <c r="C32" s="35">
        <f>VLOOKUP($D$28&amp;"-"&amp;B32,basegeral[],4,FALSE)</f>
        <v>0.3</v>
      </c>
      <c r="D32" s="49">
        <f t="shared" ref="D32:D37" si="0">aporte_geral*C32</f>
        <v>360</v>
      </c>
    </row>
    <row r="33" spans="2:4" ht="16.5" thickBot="1" x14ac:dyDescent="0.3">
      <c r="B33" s="24" t="s">
        <v>29</v>
      </c>
      <c r="C33" s="36">
        <f>VLOOKUP($D$28&amp;"-"&amp;B33,basegeral[],4,FALSE)</f>
        <v>0.2</v>
      </c>
      <c r="D33" s="47">
        <f t="shared" si="0"/>
        <v>240</v>
      </c>
    </row>
    <row r="34" spans="2:4" ht="16.5" thickBot="1" x14ac:dyDescent="0.3">
      <c r="B34" s="24" t="s">
        <v>6</v>
      </c>
      <c r="C34" s="36">
        <f>VLOOKUP($D$28&amp;"-"&amp;B34,basegeral[],4,FALSE)</f>
        <v>0.2</v>
      </c>
      <c r="D34" s="47">
        <f t="shared" si="0"/>
        <v>240</v>
      </c>
    </row>
    <row r="35" spans="2:4" ht="15.75" thickBot="1" x14ac:dyDescent="0.3">
      <c r="B35" s="50" t="s">
        <v>7</v>
      </c>
      <c r="C35" s="36">
        <f>VLOOKUP($D$28&amp;"-"&amp;B35,basegeral[],4,FALSE)</f>
        <v>0.15</v>
      </c>
      <c r="D35" s="47">
        <f t="shared" si="0"/>
        <v>180</v>
      </c>
    </row>
    <row r="36" spans="2:4" ht="16.5" thickBot="1" x14ac:dyDescent="0.3">
      <c r="B36" s="24" t="s">
        <v>39</v>
      </c>
      <c r="C36" s="36">
        <f>VLOOKUP($D$28&amp;"-"&amp;B36,basegeral[],4,FALSE)</f>
        <v>0.1</v>
      </c>
      <c r="D36" s="47">
        <f t="shared" si="0"/>
        <v>120</v>
      </c>
    </row>
    <row r="37" spans="2:4" ht="16.5" thickBot="1" x14ac:dyDescent="0.3">
      <c r="B37" s="24" t="s">
        <v>8</v>
      </c>
      <c r="C37" s="36">
        <f>VLOOKUP($D$28&amp;"-"&amp;B37,basegeral[],4,FALSE)</f>
        <v>0.05</v>
      </c>
      <c r="D37" s="47">
        <f t="shared" si="0"/>
        <v>60</v>
      </c>
    </row>
    <row r="38" spans="2:4" ht="16.5" thickBot="1" x14ac:dyDescent="0.3">
      <c r="B38" s="37" t="s">
        <v>50</v>
      </c>
      <c r="C38" s="38">
        <f>SUM(C32:C37)</f>
        <v>1</v>
      </c>
      <c r="D38" s="48">
        <f>SUM(D32:D37)</f>
        <v>1200</v>
      </c>
    </row>
    <row r="52" spans="2:4" ht="15.75" thickBot="1" x14ac:dyDescent="0.3"/>
    <row r="53" spans="2:4" ht="25.5" customHeight="1" x14ac:dyDescent="0.25">
      <c r="B53" s="83" t="s">
        <v>24</v>
      </c>
      <c r="C53" s="84"/>
      <c r="D53" s="85"/>
    </row>
    <row r="54" spans="2:4" ht="18" customHeight="1" x14ac:dyDescent="0.25">
      <c r="B54" s="70" t="s">
        <v>1</v>
      </c>
      <c r="C54" s="71"/>
      <c r="D54" s="72"/>
    </row>
    <row r="55" spans="2:4" ht="15.75" thickBot="1" x14ac:dyDescent="0.3">
      <c r="B55" s="59" t="str">
        <f>"Total em FIIs - Perfil "&amp;perfil</f>
        <v>Total em FIIs - Perfil Moderado</v>
      </c>
      <c r="C55" s="60">
        <f>C35</f>
        <v>0.15</v>
      </c>
      <c r="D55" s="61">
        <f>D35</f>
        <v>180</v>
      </c>
    </row>
    <row r="56" spans="2:4" ht="20.25" customHeight="1" thickBot="1" x14ac:dyDescent="0.3">
      <c r="B56" s="56" t="s">
        <v>12</v>
      </c>
      <c r="C56" s="57" t="s">
        <v>4</v>
      </c>
      <c r="D56" s="58" t="s">
        <v>5</v>
      </c>
    </row>
    <row r="57" spans="2:4" ht="16.5" thickBot="1" x14ac:dyDescent="0.3">
      <c r="B57" s="34" t="s">
        <v>10</v>
      </c>
      <c r="C57" s="44">
        <f>VLOOKUP($D$28&amp;"-"&amp;B57,baseFii[],4,FALSE)</f>
        <v>0.4</v>
      </c>
      <c r="D57" s="39">
        <f t="shared" ref="D57:D62" si="1">total_em_fiis*C57</f>
        <v>72</v>
      </c>
    </row>
    <row r="58" spans="2:4" ht="16.5" thickBot="1" x14ac:dyDescent="0.3">
      <c r="B58" s="24" t="s">
        <v>9</v>
      </c>
      <c r="C58" s="45">
        <f>VLOOKUP($D$28&amp;"-"&amp;B58,baseFii[],4,FALSE)</f>
        <v>0.3</v>
      </c>
      <c r="D58" s="40">
        <f t="shared" si="1"/>
        <v>54</v>
      </c>
    </row>
    <row r="59" spans="2:4" ht="16.5" thickBot="1" x14ac:dyDescent="0.3">
      <c r="B59" s="24" t="s">
        <v>11</v>
      </c>
      <c r="C59" s="45">
        <f>VLOOKUP($D$28&amp;"-"&amp;B59,baseFii[],4,FALSE)</f>
        <v>0.15</v>
      </c>
      <c r="D59" s="40">
        <f t="shared" si="1"/>
        <v>27</v>
      </c>
    </row>
    <row r="60" spans="2:4" ht="16.5" thickBot="1" x14ac:dyDescent="0.3">
      <c r="B60" s="24" t="s">
        <v>25</v>
      </c>
      <c r="C60" s="45">
        <f>VLOOKUP($D$28&amp;"-"&amp;B60,baseFii[],4,FALSE)</f>
        <v>0.1</v>
      </c>
      <c r="D60" s="40">
        <f t="shared" si="1"/>
        <v>18</v>
      </c>
    </row>
    <row r="61" spans="2:4" ht="16.5" thickBot="1" x14ac:dyDescent="0.3">
      <c r="B61" s="24" t="s">
        <v>26</v>
      </c>
      <c r="C61" s="45">
        <f>VLOOKUP($D$28&amp;"-"&amp;B61,baseFii[],4,FALSE)</f>
        <v>0.05</v>
      </c>
      <c r="D61" s="40">
        <f t="shared" si="1"/>
        <v>9</v>
      </c>
    </row>
    <row r="62" spans="2:4" ht="16.5" thickBot="1" x14ac:dyDescent="0.3">
      <c r="B62" s="24" t="s">
        <v>27</v>
      </c>
      <c r="C62" s="45">
        <f>VLOOKUP($D$28&amp;"-"&amp;B62,baseFii[],4,FALSE)</f>
        <v>0</v>
      </c>
      <c r="D62" s="40">
        <f t="shared" si="1"/>
        <v>0</v>
      </c>
    </row>
    <row r="63" spans="2:4" ht="16.5" thickBot="1" x14ac:dyDescent="0.3">
      <c r="B63" s="41" t="s">
        <v>50</v>
      </c>
      <c r="C63" s="42">
        <f>SUM(C57:C62)</f>
        <v>1</v>
      </c>
      <c r="D63" s="46">
        <f>SUM(D57:D62)</f>
        <v>180</v>
      </c>
    </row>
    <row r="74" spans="3:3" x14ac:dyDescent="0.25">
      <c r="C74" s="62"/>
    </row>
  </sheetData>
  <sheetProtection sheet="1" objects="1" scenarios="1"/>
  <protectedRanges>
    <protectedRange sqref="D7 D8 D12 D13 D14 D27 D28" name="Intervalo1"/>
  </protectedRanges>
  <mergeCells count="17">
    <mergeCell ref="B12:C12"/>
    <mergeCell ref="B27:C27"/>
    <mergeCell ref="B6:D6"/>
    <mergeCell ref="B8:C8"/>
    <mergeCell ref="B54:D54"/>
    <mergeCell ref="B7:C7"/>
    <mergeCell ref="B11:D11"/>
    <mergeCell ref="B13:C13"/>
    <mergeCell ref="B14:C14"/>
    <mergeCell ref="B15:C15"/>
    <mergeCell ref="B16:C16"/>
    <mergeCell ref="B30:D30"/>
    <mergeCell ref="B25:D25"/>
    <mergeCell ref="B53:D53"/>
    <mergeCell ref="B26:D26"/>
    <mergeCell ref="B9:C9"/>
    <mergeCell ref="B28:C28"/>
  </mergeCells>
  <dataValidations count="1">
    <dataValidation type="list" allowBlank="1" showInputMessage="1" showErrorMessage="1" sqref="D28">
      <formula1>"Conservador, Moderado, Arrojado, Agressivo"</formula1>
    </dataValidation>
  </dataValidations>
  <hyperlinks>
    <hyperlink ref="B35" location="distribuicao_Fiis" display="FIIs"/>
  </hyperlink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3"/>
  <sheetViews>
    <sheetView topLeftCell="A29" workbookViewId="0">
      <selection activeCell="D40" sqref="D40"/>
    </sheetView>
  </sheetViews>
  <sheetFormatPr defaultRowHeight="15" x14ac:dyDescent="0.25"/>
  <cols>
    <col min="1" max="1" width="43" customWidth="1"/>
    <col min="2" max="3" width="16.140625" customWidth="1"/>
    <col min="4" max="4" width="14.85546875" customWidth="1"/>
  </cols>
  <sheetData>
    <row r="1" spans="1:4" x14ac:dyDescent="0.25">
      <c r="A1" s="13" t="s">
        <v>13</v>
      </c>
      <c r="B1" s="13" t="s">
        <v>30</v>
      </c>
      <c r="C1" s="13" t="s">
        <v>31</v>
      </c>
      <c r="D1" s="13" t="s">
        <v>32</v>
      </c>
    </row>
    <row r="2" spans="1:4" x14ac:dyDescent="0.25">
      <c r="A2" s="5" t="s">
        <v>15</v>
      </c>
      <c r="B2" s="5" t="s">
        <v>2</v>
      </c>
      <c r="C2" s="5" t="s">
        <v>16</v>
      </c>
      <c r="D2" s="6" t="s">
        <v>17</v>
      </c>
    </row>
    <row r="3" spans="1:4" x14ac:dyDescent="0.25">
      <c r="A3" t="str">
        <f>B3&amp;"-"&amp;C3</f>
        <v>Conservador-Tesouro Selic</v>
      </c>
      <c r="B3" t="s">
        <v>14</v>
      </c>
      <c r="C3" t="s">
        <v>18</v>
      </c>
      <c r="D3" s="10">
        <v>0.35</v>
      </c>
    </row>
    <row r="4" spans="1:4" x14ac:dyDescent="0.25">
      <c r="A4" t="str">
        <f t="shared" ref="A4:A26" si="0">B4&amp;"-"&amp;C4</f>
        <v>Conservador-CDBs/LCI/LCA</v>
      </c>
      <c r="B4" t="s">
        <v>14</v>
      </c>
      <c r="C4" t="s">
        <v>29</v>
      </c>
      <c r="D4" s="10">
        <v>0.3</v>
      </c>
    </row>
    <row r="5" spans="1:4" x14ac:dyDescent="0.25">
      <c r="A5" t="str">
        <f t="shared" si="0"/>
        <v>Conservador-Tesouro IPCA</v>
      </c>
      <c r="B5" t="s">
        <v>14</v>
      </c>
      <c r="C5" t="s">
        <v>6</v>
      </c>
      <c r="D5" s="10">
        <v>0.2</v>
      </c>
    </row>
    <row r="6" spans="1:4" x14ac:dyDescent="0.25">
      <c r="A6" t="str">
        <f t="shared" si="0"/>
        <v>Conservador-FIIs</v>
      </c>
      <c r="B6" t="s">
        <v>14</v>
      </c>
      <c r="C6" t="s">
        <v>7</v>
      </c>
      <c r="D6" s="10">
        <v>0.1</v>
      </c>
    </row>
    <row r="7" spans="1:4" x14ac:dyDescent="0.25">
      <c r="A7" t="str">
        <f t="shared" si="0"/>
        <v>Conservador-Ações</v>
      </c>
      <c r="B7" t="s">
        <v>14</v>
      </c>
      <c r="C7" t="s">
        <v>39</v>
      </c>
      <c r="D7" s="10">
        <v>2.5000000000000001E-2</v>
      </c>
    </row>
    <row r="8" spans="1:4" ht="15.75" thickBot="1" x14ac:dyDescent="0.3">
      <c r="A8" s="2" t="str">
        <f t="shared" si="0"/>
        <v>Conservador-ETFs</v>
      </c>
      <c r="B8" s="2" t="s">
        <v>14</v>
      </c>
      <c r="C8" s="2" t="s">
        <v>8</v>
      </c>
      <c r="D8" s="11">
        <v>2.5000000000000001E-2</v>
      </c>
    </row>
    <row r="9" spans="1:4" x14ac:dyDescent="0.25">
      <c r="A9" t="str">
        <f t="shared" si="0"/>
        <v>Moderado-Tesouro Selic</v>
      </c>
      <c r="B9" t="s">
        <v>19</v>
      </c>
      <c r="C9" t="s">
        <v>18</v>
      </c>
      <c r="D9" s="10">
        <v>0.3</v>
      </c>
    </row>
    <row r="10" spans="1:4" x14ac:dyDescent="0.25">
      <c r="A10" t="str">
        <f t="shared" si="0"/>
        <v>Moderado-CDBs/LCI/LCA</v>
      </c>
      <c r="B10" t="s">
        <v>19</v>
      </c>
      <c r="C10" t="s">
        <v>29</v>
      </c>
      <c r="D10" s="10">
        <v>0.2</v>
      </c>
    </row>
    <row r="11" spans="1:4" x14ac:dyDescent="0.25">
      <c r="A11" t="str">
        <f t="shared" si="0"/>
        <v>Moderado-Tesouro IPCA</v>
      </c>
      <c r="B11" t="s">
        <v>19</v>
      </c>
      <c r="C11" t="s">
        <v>6</v>
      </c>
      <c r="D11" s="10">
        <v>0.2</v>
      </c>
    </row>
    <row r="12" spans="1:4" x14ac:dyDescent="0.25">
      <c r="A12" t="str">
        <f t="shared" si="0"/>
        <v>Moderado-FIIs</v>
      </c>
      <c r="B12" t="s">
        <v>19</v>
      </c>
      <c r="C12" t="s">
        <v>7</v>
      </c>
      <c r="D12" s="10">
        <v>0.15</v>
      </c>
    </row>
    <row r="13" spans="1:4" x14ac:dyDescent="0.25">
      <c r="A13" t="str">
        <f t="shared" si="0"/>
        <v>Moderado-Ações</v>
      </c>
      <c r="B13" t="s">
        <v>19</v>
      </c>
      <c r="C13" t="s">
        <v>39</v>
      </c>
      <c r="D13" s="10">
        <v>0.1</v>
      </c>
    </row>
    <row r="14" spans="1:4" ht="15.75" thickBot="1" x14ac:dyDescent="0.3">
      <c r="A14" s="2" t="str">
        <f t="shared" si="0"/>
        <v>Moderado-ETFs</v>
      </c>
      <c r="B14" s="2" t="s">
        <v>19</v>
      </c>
      <c r="C14" s="2" t="s">
        <v>8</v>
      </c>
      <c r="D14" s="11">
        <v>0.05</v>
      </c>
    </row>
    <row r="15" spans="1:4" x14ac:dyDescent="0.25">
      <c r="A15" t="str">
        <f t="shared" si="0"/>
        <v>Arrojado-Tesouro Selic</v>
      </c>
      <c r="B15" t="s">
        <v>20</v>
      </c>
      <c r="C15" t="s">
        <v>18</v>
      </c>
      <c r="D15" s="12">
        <v>0.15</v>
      </c>
    </row>
    <row r="16" spans="1:4" x14ac:dyDescent="0.25">
      <c r="A16" t="str">
        <f t="shared" si="0"/>
        <v>Arrojado-CDBs/LCI/LCA</v>
      </c>
      <c r="B16" t="s">
        <v>20</v>
      </c>
      <c r="C16" t="s">
        <v>29</v>
      </c>
      <c r="D16" s="12">
        <v>0.25</v>
      </c>
    </row>
    <row r="17" spans="1:4" x14ac:dyDescent="0.25">
      <c r="A17" t="str">
        <f t="shared" si="0"/>
        <v>Arrojado-Tesouro IPCA</v>
      </c>
      <c r="B17" t="s">
        <v>20</v>
      </c>
      <c r="C17" t="s">
        <v>6</v>
      </c>
      <c r="D17" s="12">
        <v>0.1</v>
      </c>
    </row>
    <row r="18" spans="1:4" x14ac:dyDescent="0.25">
      <c r="A18" t="str">
        <f t="shared" si="0"/>
        <v>Arrojado-FIIs</v>
      </c>
      <c r="B18" t="s">
        <v>20</v>
      </c>
      <c r="C18" t="s">
        <v>7</v>
      </c>
      <c r="D18" s="12">
        <v>0.2</v>
      </c>
    </row>
    <row r="19" spans="1:4" x14ac:dyDescent="0.25">
      <c r="A19" t="str">
        <f t="shared" si="0"/>
        <v>Arrojado-Ações</v>
      </c>
      <c r="B19" t="s">
        <v>20</v>
      </c>
      <c r="C19" t="s">
        <v>39</v>
      </c>
      <c r="D19" s="12">
        <v>0.15</v>
      </c>
    </row>
    <row r="20" spans="1:4" ht="15.75" thickBot="1" x14ac:dyDescent="0.3">
      <c r="A20" s="2" t="str">
        <f t="shared" si="0"/>
        <v>Arrojado-ETFs</v>
      </c>
      <c r="B20" s="2" t="s">
        <v>20</v>
      </c>
      <c r="C20" s="2" t="s">
        <v>8</v>
      </c>
      <c r="D20" s="11">
        <v>0.15</v>
      </c>
    </row>
    <row r="21" spans="1:4" x14ac:dyDescent="0.25">
      <c r="A21" t="str">
        <f t="shared" si="0"/>
        <v>Agressivo-Tesouro Selic</v>
      </c>
      <c r="B21" t="s">
        <v>21</v>
      </c>
      <c r="C21" t="s">
        <v>18</v>
      </c>
      <c r="D21" s="12">
        <v>0.05</v>
      </c>
    </row>
    <row r="22" spans="1:4" x14ac:dyDescent="0.25">
      <c r="A22" t="str">
        <f t="shared" si="0"/>
        <v>Agressivo-CDBs/LCI/LCA</v>
      </c>
      <c r="B22" t="s">
        <v>21</v>
      </c>
      <c r="C22" t="s">
        <v>29</v>
      </c>
      <c r="D22" s="12">
        <v>0.15</v>
      </c>
    </row>
    <row r="23" spans="1:4" x14ac:dyDescent="0.25">
      <c r="A23" t="str">
        <f t="shared" si="0"/>
        <v>Agressivo-Tesouro IPCA</v>
      </c>
      <c r="B23" t="s">
        <v>21</v>
      </c>
      <c r="C23" t="s">
        <v>6</v>
      </c>
      <c r="D23" s="12">
        <v>0.1</v>
      </c>
    </row>
    <row r="24" spans="1:4" x14ac:dyDescent="0.25">
      <c r="A24" t="str">
        <f t="shared" si="0"/>
        <v>Agressivo-FIIs</v>
      </c>
      <c r="B24" t="s">
        <v>21</v>
      </c>
      <c r="C24" t="s">
        <v>7</v>
      </c>
      <c r="D24" s="12">
        <v>0.2</v>
      </c>
    </row>
    <row r="25" spans="1:4" x14ac:dyDescent="0.25">
      <c r="A25" t="str">
        <f t="shared" si="0"/>
        <v>Agressivo-Ações</v>
      </c>
      <c r="B25" t="s">
        <v>21</v>
      </c>
      <c r="C25" t="s">
        <v>39</v>
      </c>
      <c r="D25" s="12">
        <v>0.25</v>
      </c>
    </row>
    <row r="26" spans="1:4" x14ac:dyDescent="0.25">
      <c r="A26" s="14" t="str">
        <f t="shared" si="0"/>
        <v>Agressivo-ETFs</v>
      </c>
      <c r="B26" s="14" t="s">
        <v>21</v>
      </c>
      <c r="C26" s="14" t="s">
        <v>8</v>
      </c>
      <c r="D26" s="12">
        <v>0.25</v>
      </c>
    </row>
    <row r="28" spans="1:4" x14ac:dyDescent="0.25">
      <c r="A28" s="13" t="s">
        <v>22</v>
      </c>
      <c r="B28" s="13" t="s">
        <v>30</v>
      </c>
      <c r="C28" s="13" t="s">
        <v>31</v>
      </c>
      <c r="D28" s="13" t="s">
        <v>32</v>
      </c>
    </row>
    <row r="29" spans="1:4" x14ac:dyDescent="0.25">
      <c r="A29" s="5" t="s">
        <v>15</v>
      </c>
      <c r="B29" s="5" t="s">
        <v>2</v>
      </c>
      <c r="C29" s="5" t="s">
        <v>16</v>
      </c>
      <c r="D29" s="6" t="s">
        <v>17</v>
      </c>
    </row>
    <row r="30" spans="1:4" x14ac:dyDescent="0.25">
      <c r="A30" t="str">
        <f>B30&amp;"-"&amp;C30</f>
        <v>Conservador-Papel</v>
      </c>
      <c r="B30" t="s">
        <v>14</v>
      </c>
      <c r="C30" t="s">
        <v>10</v>
      </c>
      <c r="D30" s="7">
        <v>0.55000000000000004</v>
      </c>
    </row>
    <row r="31" spans="1:4" x14ac:dyDescent="0.25">
      <c r="A31" t="str">
        <f t="shared" ref="A31:A53" si="1">B31&amp;"-"&amp;C31</f>
        <v>Conservador-Tijolo</v>
      </c>
      <c r="B31" t="s">
        <v>14</v>
      </c>
      <c r="C31" t="s">
        <v>9</v>
      </c>
      <c r="D31" s="7">
        <v>0.35</v>
      </c>
    </row>
    <row r="32" spans="1:4" x14ac:dyDescent="0.25">
      <c r="A32" t="str">
        <f t="shared" si="1"/>
        <v>Conservador-Híbridos</v>
      </c>
      <c r="B32" t="s">
        <v>14</v>
      </c>
      <c r="C32" t="s">
        <v>11</v>
      </c>
      <c r="D32" s="7">
        <v>0</v>
      </c>
    </row>
    <row r="33" spans="1:4" x14ac:dyDescent="0.25">
      <c r="A33" t="str">
        <f t="shared" si="1"/>
        <v>Conservador-Fofs</v>
      </c>
      <c r="B33" t="s">
        <v>14</v>
      </c>
      <c r="C33" t="s">
        <v>25</v>
      </c>
      <c r="D33" s="7">
        <v>0.1</v>
      </c>
    </row>
    <row r="34" spans="1:4" x14ac:dyDescent="0.25">
      <c r="A34" t="str">
        <f t="shared" si="1"/>
        <v>Conservador-Desenvolvimento</v>
      </c>
      <c r="B34" t="s">
        <v>14</v>
      </c>
      <c r="C34" t="s">
        <v>26</v>
      </c>
      <c r="D34" s="7">
        <v>0</v>
      </c>
    </row>
    <row r="35" spans="1:4" ht="15.75" thickBot="1" x14ac:dyDescent="0.3">
      <c r="A35" s="2" t="str">
        <f t="shared" si="1"/>
        <v>Conservador-Hotelaria</v>
      </c>
      <c r="B35" s="2" t="s">
        <v>14</v>
      </c>
      <c r="C35" s="2" t="s">
        <v>27</v>
      </c>
      <c r="D35" s="8">
        <v>0</v>
      </c>
    </row>
    <row r="36" spans="1:4" x14ac:dyDescent="0.25">
      <c r="A36" t="str">
        <f t="shared" si="1"/>
        <v>Moderado-Papel</v>
      </c>
      <c r="B36" t="s">
        <v>19</v>
      </c>
      <c r="C36" t="s">
        <v>10</v>
      </c>
      <c r="D36" s="9">
        <v>0.4</v>
      </c>
    </row>
    <row r="37" spans="1:4" x14ac:dyDescent="0.25">
      <c r="A37" t="str">
        <f t="shared" si="1"/>
        <v>Moderado-Tijolo</v>
      </c>
      <c r="B37" t="s">
        <v>19</v>
      </c>
      <c r="C37" t="s">
        <v>9</v>
      </c>
      <c r="D37" s="9">
        <v>0.3</v>
      </c>
    </row>
    <row r="38" spans="1:4" x14ac:dyDescent="0.25">
      <c r="A38" t="str">
        <f t="shared" si="1"/>
        <v>Moderado-Híbridos</v>
      </c>
      <c r="B38" t="s">
        <v>19</v>
      </c>
      <c r="C38" t="s">
        <v>11</v>
      </c>
      <c r="D38" s="9">
        <v>0.15</v>
      </c>
    </row>
    <row r="39" spans="1:4" x14ac:dyDescent="0.25">
      <c r="A39" t="str">
        <f t="shared" si="1"/>
        <v>Moderado-Fofs</v>
      </c>
      <c r="B39" t="s">
        <v>19</v>
      </c>
      <c r="C39" t="s">
        <v>25</v>
      </c>
      <c r="D39" s="9">
        <v>0.1</v>
      </c>
    </row>
    <row r="40" spans="1:4" x14ac:dyDescent="0.25">
      <c r="A40" t="str">
        <f t="shared" si="1"/>
        <v>Moderado-Desenvolvimento</v>
      </c>
      <c r="B40" t="s">
        <v>19</v>
      </c>
      <c r="C40" t="s">
        <v>26</v>
      </c>
      <c r="D40" s="9">
        <v>0.05</v>
      </c>
    </row>
    <row r="41" spans="1:4" ht="15.75" thickBot="1" x14ac:dyDescent="0.3">
      <c r="A41" s="2" t="str">
        <f t="shared" si="1"/>
        <v>Moderado-Hotelaria</v>
      </c>
      <c r="B41" s="2" t="s">
        <v>19</v>
      </c>
      <c r="C41" s="2" t="s">
        <v>27</v>
      </c>
      <c r="D41" s="8">
        <v>0</v>
      </c>
    </row>
    <row r="42" spans="1:4" x14ac:dyDescent="0.25">
      <c r="A42" t="str">
        <f t="shared" si="1"/>
        <v>Arrojado-Papel</v>
      </c>
      <c r="B42" t="s">
        <v>20</v>
      </c>
      <c r="C42" t="s">
        <v>10</v>
      </c>
      <c r="D42" s="9">
        <v>0.25</v>
      </c>
    </row>
    <row r="43" spans="1:4" x14ac:dyDescent="0.25">
      <c r="A43" t="str">
        <f t="shared" si="1"/>
        <v>Arrojado-Tijolo</v>
      </c>
      <c r="B43" t="s">
        <v>20</v>
      </c>
      <c r="C43" t="s">
        <v>9</v>
      </c>
      <c r="D43" s="9">
        <v>0.3</v>
      </c>
    </row>
    <row r="44" spans="1:4" x14ac:dyDescent="0.25">
      <c r="A44" t="str">
        <f t="shared" si="1"/>
        <v>Arrojado-Híbridos</v>
      </c>
      <c r="B44" t="s">
        <v>20</v>
      </c>
      <c r="C44" t="s">
        <v>11</v>
      </c>
      <c r="D44" s="9">
        <v>0.15</v>
      </c>
    </row>
    <row r="45" spans="1:4" x14ac:dyDescent="0.25">
      <c r="A45" t="str">
        <f t="shared" si="1"/>
        <v>Arrojado-Fofs</v>
      </c>
      <c r="B45" t="s">
        <v>20</v>
      </c>
      <c r="C45" t="s">
        <v>25</v>
      </c>
      <c r="D45" s="9">
        <v>0.05</v>
      </c>
    </row>
    <row r="46" spans="1:4" x14ac:dyDescent="0.25">
      <c r="A46" t="str">
        <f t="shared" si="1"/>
        <v>Arrojado-Desenvolvimento</v>
      </c>
      <c r="B46" t="s">
        <v>20</v>
      </c>
      <c r="C46" t="s">
        <v>26</v>
      </c>
      <c r="D46" s="9">
        <v>0.2</v>
      </c>
    </row>
    <row r="47" spans="1:4" ht="15.75" thickBot="1" x14ac:dyDescent="0.3">
      <c r="A47" s="2" t="str">
        <f t="shared" si="1"/>
        <v>Arrojado-Hotelaria</v>
      </c>
      <c r="B47" s="2" t="s">
        <v>20</v>
      </c>
      <c r="C47" s="2" t="s">
        <v>27</v>
      </c>
      <c r="D47" s="8">
        <v>0.05</v>
      </c>
    </row>
    <row r="48" spans="1:4" x14ac:dyDescent="0.25">
      <c r="A48" t="str">
        <f t="shared" si="1"/>
        <v>Agressivo-Papel</v>
      </c>
      <c r="B48" t="s">
        <v>21</v>
      </c>
      <c r="C48" t="s">
        <v>10</v>
      </c>
      <c r="D48" s="9">
        <v>0.15</v>
      </c>
    </row>
    <row r="49" spans="1:4" x14ac:dyDescent="0.25">
      <c r="A49" t="str">
        <f t="shared" si="1"/>
        <v>Agressivo-Tijolo</v>
      </c>
      <c r="B49" t="s">
        <v>21</v>
      </c>
      <c r="C49" t="s">
        <v>9</v>
      </c>
      <c r="D49" s="7">
        <v>0.25</v>
      </c>
    </row>
    <row r="50" spans="1:4" x14ac:dyDescent="0.25">
      <c r="A50" t="str">
        <f t="shared" si="1"/>
        <v>Agressivo-Híbridos</v>
      </c>
      <c r="B50" t="s">
        <v>21</v>
      </c>
      <c r="C50" t="s">
        <v>11</v>
      </c>
      <c r="D50" s="7">
        <v>0.1</v>
      </c>
    </row>
    <row r="51" spans="1:4" x14ac:dyDescent="0.25">
      <c r="A51" t="str">
        <f t="shared" si="1"/>
        <v>Agressivo-Fofs</v>
      </c>
      <c r="B51" t="s">
        <v>21</v>
      </c>
      <c r="C51" t="s">
        <v>25</v>
      </c>
      <c r="D51" s="7">
        <v>0.05</v>
      </c>
    </row>
    <row r="52" spans="1:4" x14ac:dyDescent="0.25">
      <c r="A52" t="str">
        <f t="shared" si="1"/>
        <v>Agressivo-Desenvolvimento</v>
      </c>
      <c r="B52" t="s">
        <v>21</v>
      </c>
      <c r="C52" t="s">
        <v>26</v>
      </c>
      <c r="D52" s="7">
        <v>0.35</v>
      </c>
    </row>
    <row r="53" spans="1:4" x14ac:dyDescent="0.25">
      <c r="A53" s="14" t="str">
        <f t="shared" si="1"/>
        <v>Agressivo-Hotelaria</v>
      </c>
      <c r="B53" s="14" t="s">
        <v>21</v>
      </c>
      <c r="C53" s="14" t="s">
        <v>27</v>
      </c>
      <c r="D53" s="15">
        <v>0.1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9</vt:i4>
      </vt:variant>
    </vt:vector>
  </HeadingPairs>
  <TitlesOfParts>
    <vt:vector size="11" baseType="lpstr">
      <vt:lpstr>Controle_de_investimentos</vt:lpstr>
      <vt:lpstr>Referências</vt:lpstr>
      <vt:lpstr>aporte_FIIs</vt:lpstr>
      <vt:lpstr>aporte_geral</vt:lpstr>
      <vt:lpstr>distribuicao_Fiis</vt:lpstr>
      <vt:lpstr>FIIs</vt:lpstr>
      <vt:lpstr>perfil</vt:lpstr>
      <vt:lpstr>prazo</vt:lpstr>
      <vt:lpstr>rendimento</vt:lpstr>
      <vt:lpstr>taxa_mes</vt:lpstr>
      <vt:lpstr>total_em_fiis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2026-09-19T17:38:48Z</dcterms:created>
  <dcterms:modified xsi:type="dcterms:W3CDTF">2026-09-27T01:20:52Z</dcterms:modified>
</cp:coreProperties>
</file>